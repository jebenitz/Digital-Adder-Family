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t\Desktop\Archivos\Autolearning\ICdesign\Verilog\Sumador\Adder_Doc_Latex\"/>
    </mc:Choice>
  </mc:AlternateContent>
  <xr:revisionPtr revIDLastSave="0" documentId="13_ncr:1_{C9EDCA62-BB0F-463B-AB7C-4B3EEB310B3F}" xr6:coauthVersionLast="47" xr6:coauthVersionMax="47" xr10:uidLastSave="{00000000-0000-0000-0000-000000000000}"/>
  <bookViews>
    <workbookView xWindow="-110" yWindow="-110" windowWidth="19420" windowHeight="10300" xr2:uid="{99832835-B635-40C3-814C-3DFD5F2214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E23" i="1" a="1"/>
  <c r="E23" i="1" s="1"/>
  <c r="E20" i="1" a="1"/>
  <c r="E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<sst xmlns="http://schemas.openxmlformats.org/spreadsheetml/2006/main" count="25" uniqueCount="22">
  <si>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 xml:space="preserve">Gate </t>
  </si>
  <si>
    <t>NOT</t>
  </si>
  <si>
    <t>OR</t>
  </si>
  <si>
    <t>AND</t>
  </si>
  <si>
    <t>NAND</t>
  </si>
  <si>
    <t>XOR</t>
  </si>
  <si>
    <t>Module</t>
  </si>
  <si>
    <t>Adder (full gates)</t>
  </si>
  <si>
    <t>Adder 28-T</t>
  </si>
  <si>
    <r>
      <t>t</t>
    </r>
    <r>
      <rPr>
        <vertAlign val="subscript"/>
        <sz val="11"/>
        <color theme="1"/>
        <rFont val="Aptos Narrow"/>
        <family val="2"/>
        <scheme val="minor"/>
      </rPr>
      <t>PLH</t>
    </r>
    <r>
      <rPr>
        <sz val="11"/>
        <color theme="1"/>
        <rFont val="Aptos Narrow"/>
        <family val="2"/>
        <scheme val="minor"/>
      </rPr>
      <t xml:space="preserve"> (ps)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</si>
  <si>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PHL</t>
    </r>
    <r>
      <rPr>
        <sz val="11"/>
        <color theme="1"/>
        <rFont val="Aptos Narrow"/>
        <family val="2"/>
        <scheme val="minor"/>
      </rPr>
      <t xml:space="preserve"> (ps)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</si>
  <si>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(ps)</t>
    </r>
  </si>
  <si>
    <t xml:space="preserve">NAND4 </t>
  </si>
  <si>
    <t>NAND4(S)</t>
  </si>
  <si>
    <t>Cout</t>
  </si>
  <si>
    <t xml:space="preserve">S </t>
  </si>
  <si>
    <t>S (worse case)</t>
  </si>
  <si>
    <t>S (best case)</t>
  </si>
  <si>
    <t>Cout (worse case)</t>
  </si>
  <si>
    <t>Cout (best case)</t>
  </si>
  <si>
    <t>OR4</t>
  </si>
  <si>
    <t>AND4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</si>
</sst>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A99E-B61E-4ADF-84F6-3AA42E6EC00B}">
  <dimension ref="B3:E26"/>
  <sheetViews>
    <sheetView tabSelected="1" zoomScale="87" workbookViewId="0">
      <selection activeCell="G11" sqref="G11"/>
    </sheetView>
  </sheetViews>
  <sheetFormatPr baseColWidth="10" defaultRowHeight="14.5" x14ac:dyDescent="0.35"/>
  <cols>
    <col min="2" max="2" width="18.81640625" customWidth="1"/>
    <col min="3" max="3" width="18.26953125" customWidth="1"/>
    <col min="4" max="4" width="17.08984375" customWidth="1"/>
    <col min="5" max="5" width="19.1796875" customWidth="1"/>
  </cols>
  <sheetData>
    <row r="3" spans="2:5" ht="16.5" x14ac:dyDescent="0.45">
      <c r="B3" s="1" t="s">
        <v>0</v>
      </c>
      <c r="C3" s="1" t="s">
        <v>9</v>
      </c>
      <c r="D3" s="1" t="s">
        <v>10</v>
      </c>
      <c r="E3" s="1" t="s">
        <v>11</v>
      </c>
    </row>
    <row r="4" spans="2:5" x14ac:dyDescent="0.35">
      <c r="B4" s="1" t="s">
        <v>1</v>
      </c>
      <c r="C4" s="1">
        <v>175.3785</v>
      </c>
      <c r="D4" s="1">
        <v>40.639000000000003</v>
      </c>
      <c r="E4" s="1" cm="1">
        <f t="array" ref="E4:E12">(1/2)*(C4:C12+D4:D12)</f>
        <v>108.00875000000001</v>
      </c>
    </row>
    <row r="5" spans="2:5" x14ac:dyDescent="0.35">
      <c r="B5" s="1" t="s">
        <v>2</v>
      </c>
      <c r="C5" s="1">
        <v>174.32429999999999</v>
      </c>
      <c r="D5" s="1">
        <v>216.65209999999999</v>
      </c>
      <c r="E5" s="1">
        <v>195.48820000000001</v>
      </c>
    </row>
    <row r="6" spans="2:5" x14ac:dyDescent="0.35">
      <c r="B6" s="1" t="s">
        <v>3</v>
      </c>
      <c r="C6" s="1">
        <v>184.99719999999999</v>
      </c>
      <c r="D6" s="1">
        <v>97.568700000000007</v>
      </c>
      <c r="E6" s="1">
        <v>141.28295</v>
      </c>
    </row>
    <row r="7" spans="2:5" x14ac:dyDescent="0.35">
      <c r="B7" s="1" t="s">
        <v>4</v>
      </c>
      <c r="C7" s="1">
        <v>137.95920000000001</v>
      </c>
      <c r="D7" s="1">
        <v>57.867040000000003</v>
      </c>
      <c r="E7" s="1">
        <v>97.913120000000006</v>
      </c>
    </row>
    <row r="8" spans="2:5" x14ac:dyDescent="0.35">
      <c r="B8" s="1" t="s">
        <v>12</v>
      </c>
      <c r="C8" s="1">
        <v>750.10509999999999</v>
      </c>
      <c r="D8" s="1">
        <v>30.723459999999999</v>
      </c>
      <c r="E8" s="1">
        <v>390.41428000000002</v>
      </c>
    </row>
    <row r="9" spans="2:5" x14ac:dyDescent="0.35">
      <c r="B9" s="1" t="s">
        <v>13</v>
      </c>
      <c r="C9" s="1">
        <v>207.26519999999999</v>
      </c>
      <c r="D9" s="1">
        <v>30.654530999999999</v>
      </c>
      <c r="E9" s="1">
        <v>118.95986549999999</v>
      </c>
    </row>
    <row r="10" spans="2:5" x14ac:dyDescent="0.35">
      <c r="B10" s="1" t="s">
        <v>5</v>
      </c>
      <c r="C10" s="1">
        <v>351.9982</v>
      </c>
      <c r="D10" s="1">
        <v>29.568899999999999</v>
      </c>
      <c r="E10" s="1">
        <v>190.78354999999999</v>
      </c>
    </row>
    <row r="11" spans="2:5" x14ac:dyDescent="0.35">
      <c r="B11" s="1" t="s">
        <v>20</v>
      </c>
      <c r="C11" s="1">
        <v>246.76499999999999</v>
      </c>
      <c r="D11" s="1">
        <v>394.58969999999999</v>
      </c>
      <c r="E11" s="1">
        <v>320.67734999999999</v>
      </c>
    </row>
    <row r="12" spans="2:5" x14ac:dyDescent="0.35">
      <c r="B12" s="1" t="s">
        <v>21</v>
      </c>
      <c r="C12" s="1">
        <v>291.68880000000001</v>
      </c>
      <c r="D12" s="1">
        <v>126.21420000000001</v>
      </c>
      <c r="E12" s="1">
        <v>208.95150000000001</v>
      </c>
    </row>
    <row r="18" spans="2:5" ht="16.5" x14ac:dyDescent="0.45">
      <c r="B18" s="1" t="s">
        <v>6</v>
      </c>
      <c r="C18" s="1" t="s">
        <v>9</v>
      </c>
      <c r="D18" s="1" t="s">
        <v>10</v>
      </c>
      <c r="E18" s="1" t="s">
        <v>11</v>
      </c>
    </row>
    <row r="19" spans="2:5" x14ac:dyDescent="0.35">
      <c r="B19" s="1" t="s">
        <v>7</v>
      </c>
      <c r="C19" s="1"/>
      <c r="D19" s="1"/>
      <c r="E19" s="2"/>
    </row>
    <row r="20" spans="2:5" x14ac:dyDescent="0.35">
      <c r="B20" s="1" t="s">
        <v>15</v>
      </c>
      <c r="C20" s="1">
        <v>632.4991</v>
      </c>
      <c r="D20" s="1">
        <v>119.99120000000001</v>
      </c>
      <c r="E20" s="1" cm="1">
        <f t="array" ref="E20:E21">(1/2)*(C20:C21+D20:D21)</f>
        <v>376.24515000000002</v>
      </c>
    </row>
    <row r="21" spans="2:5" x14ac:dyDescent="0.35">
      <c r="B21" s="1" t="s">
        <v>14</v>
      </c>
      <c r="C21" s="1">
        <v>413.72149999999999</v>
      </c>
      <c r="D21" s="1">
        <v>301.8304</v>
      </c>
      <c r="E21" s="1">
        <v>357.77594999999997</v>
      </c>
    </row>
    <row r="22" spans="2:5" x14ac:dyDescent="0.35">
      <c r="B22" s="1" t="s">
        <v>8</v>
      </c>
      <c r="C22" s="1"/>
      <c r="D22" s="1"/>
      <c r="E22" s="1"/>
    </row>
    <row r="23" spans="2:5" x14ac:dyDescent="0.35">
      <c r="B23" s="1" t="s">
        <v>16</v>
      </c>
      <c r="C23" s="1">
        <v>422.08909999999997</v>
      </c>
      <c r="D23" s="1">
        <v>223.4649</v>
      </c>
      <c r="E23" s="1" cm="1">
        <f t="array" ref="E23:E26">(1/2)*(C23:C26+D23:D26)</f>
        <v>322.77699999999999</v>
      </c>
    </row>
    <row r="24" spans="2:5" x14ac:dyDescent="0.35">
      <c r="B24" s="1" t="s">
        <v>17</v>
      </c>
      <c r="C24" s="1">
        <v>338.6053</v>
      </c>
      <c r="D24" s="1">
        <v>203.67269999999999</v>
      </c>
      <c r="E24" s="1">
        <v>271.13900000000001</v>
      </c>
    </row>
    <row r="25" spans="2:5" x14ac:dyDescent="0.35">
      <c r="B25" s="1" t="s">
        <v>18</v>
      </c>
      <c r="C25" s="1">
        <v>351.5342</v>
      </c>
      <c r="D25" s="1">
        <v>238.3466</v>
      </c>
      <c r="E25" s="1">
        <v>294.94040000000001</v>
      </c>
    </row>
    <row r="26" spans="2:5" x14ac:dyDescent="0.35">
      <c r="B26" s="3" t="s">
        <v>19</v>
      </c>
      <c r="C26" s="4">
        <v>347.65859999999998</v>
      </c>
      <c r="D26" s="3">
        <v>175.0993</v>
      </c>
      <c r="E26" s="5">
        <v>261.37894999999997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Esther Benitez Lopez</dc:creator>
  <cp:lastModifiedBy>Julia Esther Benitez Lopez</cp:lastModifiedBy>
  <dcterms:created xsi:type="dcterms:W3CDTF">2025-11-12T19:22:26Z</dcterms:created>
  <dcterms:modified xsi:type="dcterms:W3CDTF">2025-11-18T04:58:59Z</dcterms:modified>
</cp:coreProperties>
</file>